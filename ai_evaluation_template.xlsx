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Instructions" sheetId="1" state="visible" r:id="rId1"/>
    <sheet xmlns:r="http://schemas.openxmlformats.org/officeDocument/2006/relationships" name="Eval_Fields" sheetId="2" state="visible" r:id="rId2"/>
    <sheet xmlns:r="http://schemas.openxmlformats.org/officeDocument/2006/relationships" name="OCR_Text" sheetId="3" state="visible" r:id="rId3"/>
    <sheet xmlns:r="http://schemas.openxmlformats.org/officeDocument/2006/relationships" name="Pipeline_Outcomes" sheetId="4" state="visible" r:id="rId4"/>
    <sheet xmlns:r="http://schemas.openxmlformats.org/officeDocument/2006/relationships" name="Evaluation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i val="1"/>
      <color rgb="00595959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85" customWidth="1" min="2" max="2"/>
  </cols>
  <sheetData>
    <row r="1">
      <c r="A1" s="1" t="inlineStr">
        <is>
          <t>DocuFlow Automation - AI &amp; OCR Evaluation Template</t>
        </is>
      </c>
    </row>
    <row r="2">
      <c r="A2" s="2" t="inlineStr">
        <is>
          <t>Academic Evaluation Guidelines &amp; Zero-Fabrication Protocol</t>
        </is>
      </c>
    </row>
    <row r="4">
      <c r="A4" s="3" t="inlineStr"/>
      <c r="B4" s="4" t="inlineStr"/>
    </row>
    <row r="5">
      <c r="A5" s="3" t="inlineStr">
        <is>
          <t>1. PURPOSE</t>
        </is>
      </c>
      <c r="B5" s="4" t="inlineStr">
        <is>
          <t>This workbook provides the official ground-truth and prediction registration template for evaluating the DocuFlow OCR (PaddleOCR) and LLM Extraction pipeline.</t>
        </is>
      </c>
    </row>
    <row r="6">
      <c r="A6" s="3" t="inlineStr">
        <is>
          <t>2. ZERO FABRICATION</t>
        </is>
      </c>
      <c r="B6" s="4" t="inlineStr">
        <is>
          <t>Academic dissertation standards prohibit generating or inventing synthetic ground-truth annotations or model accuracy figures. Evaluation status remains BLOCKED until human ground truth is annotated.</t>
        </is>
      </c>
    </row>
    <row r="7">
      <c r="A7" s="3" t="inlineStr">
        <is>
          <t>3. HOW TO USE</t>
        </is>
      </c>
      <c r="B7" s="4" t="inlineStr">
        <is>
          <t>Populate reference values in the "Eval_Fields" and "OCR_Text" worksheets using verified physical or electronic test invoices.</t>
        </is>
      </c>
    </row>
    <row r="8">
      <c r="A8" s="3" t="inlineStr">
        <is>
          <t>4. EVALUATION SCRIPT</t>
        </is>
      </c>
      <c r="B8" s="4" t="inlineStr">
        <is>
          <t>Once annotated, execute "python evaluate_ai_metrics.py --workbook ai_evaluation_template.xlsx" to calculate CER, WER, Precision, Recall, F1, and manual correction rates.</t>
        </is>
      </c>
    </row>
    <row r="9">
      <c r="A9" s="3" t="inlineStr">
        <is>
          <t>5. SHEETS INCLUDED</t>
        </is>
      </c>
      <c r="B9" s="4" t="inlineStr">
        <is>
          <t>• Eval_Fields: Field-level ground truth vs model extraction comparison
• OCR_Text: Full text ground truth vs PaddleOCR output for CER/WER
• Pipeline_Outcomes: Processing durations and end-to-end pipeline latency
• Evaluation_Summary: Aggregated metrics status and formulas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6" customWidth="1" min="3" max="3"/>
    <col width="20" customWidth="1" min="4" max="4"/>
    <col width="55" customWidth="1" min="5" max="5"/>
    <col width="74" customWidth="1" min="6" max="6"/>
    <col width="49" customWidth="1" min="7" max="7"/>
    <col width="41" customWidth="1" min="8" max="8"/>
  </cols>
  <sheetData>
    <row r="1">
      <c r="A1" s="5" t="inlineStr">
        <is>
          <t>Invoice_ID</t>
        </is>
      </c>
      <c r="B1" s="5" t="inlineStr">
        <is>
          <t>Field_Name</t>
        </is>
      </c>
      <c r="C1" s="5" t="inlineStr">
        <is>
          <t>Ground_Truth</t>
        </is>
      </c>
      <c r="D1" s="5" t="inlineStr">
        <is>
          <t>Model_Prediction</t>
        </is>
      </c>
      <c r="E1" s="5" t="inlineStr">
        <is>
          <t>Is_Raw_Match</t>
        </is>
      </c>
      <c r="F1" s="5" t="inlineStr">
        <is>
          <t>Is_Norm_Match</t>
        </is>
      </c>
      <c r="G1" s="5" t="inlineStr">
        <is>
          <t>Manually_Corrected</t>
        </is>
      </c>
      <c r="H1" s="5" t="inlineStr">
        <is>
          <t>Notes / Field Type</t>
        </is>
      </c>
    </row>
    <row r="2">
      <c r="A2" t="inlineStr">
        <is>
          <t>INV-SAMPLE-001</t>
        </is>
      </c>
      <c r="B2" t="inlineStr">
        <is>
          <t>invoice_number</t>
        </is>
      </c>
      <c r="C2" t="inlineStr"/>
      <c r="D2" t="inlineStr"/>
      <c r="E2">
        <f>IF(C2="","PENDING",IF(EXACT(C2,D2),"YES","NO"))</f>
        <v/>
      </c>
      <c r="F2">
        <f>IF(C2="","PENDING",IF(TRIM(LOWER(C2))=TRIM(LOWER(D2)),"YES","NO"))</f>
        <v/>
      </c>
      <c r="G2">
        <f>IF(C2="","PENDING",IF(F2="NO","YES","NO"))</f>
        <v/>
      </c>
      <c r="H2" t="inlineStr">
        <is>
          <t>Pending human ground truth annotation</t>
        </is>
      </c>
    </row>
    <row r="3">
      <c r="A3" t="inlineStr">
        <is>
          <t>INV-SAMPLE-001</t>
        </is>
      </c>
      <c r="B3" t="inlineStr">
        <is>
          <t>invoice_date</t>
        </is>
      </c>
      <c r="C3" t="inlineStr"/>
      <c r="D3" t="inlineStr"/>
      <c r="E3">
        <f>IF(C3="","PENDING",IF(EXACT(C3,D3),"YES","NO"))</f>
        <v/>
      </c>
      <c r="F3">
        <f>IF(C3="","PENDING",IF(TRIM(LOWER(C3))=TRIM(LOWER(D3)),"YES","NO"))</f>
        <v/>
      </c>
      <c r="G3">
        <f>IF(C3="","PENDING",IF(F3="NO","YES","NO"))</f>
        <v/>
      </c>
      <c r="H3" t="inlineStr">
        <is>
          <t>Pending human ground truth annotation</t>
        </is>
      </c>
    </row>
    <row r="4">
      <c r="A4" t="inlineStr">
        <is>
          <t>INV-SAMPLE-001</t>
        </is>
      </c>
      <c r="B4" t="inlineStr">
        <is>
          <t>due_date</t>
        </is>
      </c>
      <c r="C4" t="inlineStr"/>
      <c r="D4" t="inlineStr"/>
      <c r="E4">
        <f>IF(C4="","PENDING",IF(EXACT(C4,D4),"YES","NO"))</f>
        <v/>
      </c>
      <c r="F4">
        <f>IF(C4="","PENDING",IF(TRIM(LOWER(C4))=TRIM(LOWER(D4)),"YES","NO"))</f>
        <v/>
      </c>
      <c r="G4">
        <f>IF(C4="","PENDING",IF(F4="NO","YES","NO"))</f>
        <v/>
      </c>
      <c r="H4" t="inlineStr">
        <is>
          <t>Pending human ground truth annotation</t>
        </is>
      </c>
    </row>
    <row r="5">
      <c r="A5" t="inlineStr">
        <is>
          <t>INV-SAMPLE-001</t>
        </is>
      </c>
      <c r="B5" t="inlineStr">
        <is>
          <t>vendor_name</t>
        </is>
      </c>
      <c r="C5" t="inlineStr"/>
      <c r="D5" t="inlineStr"/>
      <c r="E5">
        <f>IF(C5="","PENDING",IF(EXACT(C5,D5),"YES","NO"))</f>
        <v/>
      </c>
      <c r="F5">
        <f>IF(C5="","PENDING",IF(TRIM(LOWER(C5))=TRIM(LOWER(D5)),"YES","NO"))</f>
        <v/>
      </c>
      <c r="G5">
        <f>IF(C5="","PENDING",IF(F5="NO","YES","NO"))</f>
        <v/>
      </c>
      <c r="H5" t="inlineStr">
        <is>
          <t>Pending human ground truth annotation</t>
        </is>
      </c>
    </row>
    <row r="6">
      <c r="A6" t="inlineStr">
        <is>
          <t>INV-SAMPLE-001</t>
        </is>
      </c>
      <c r="B6" t="inlineStr">
        <is>
          <t>vendor_tax_id</t>
        </is>
      </c>
      <c r="C6" t="inlineStr"/>
      <c r="D6" t="inlineStr"/>
      <c r="E6">
        <f>IF(C6="","PENDING",IF(EXACT(C6,D6),"YES","NO"))</f>
        <v/>
      </c>
      <c r="F6">
        <f>IF(C6="","PENDING",IF(TRIM(LOWER(C6))=TRIM(LOWER(D6)),"YES","NO"))</f>
        <v/>
      </c>
      <c r="G6">
        <f>IF(C6="","PENDING",IF(F6="NO","YES","NO"))</f>
        <v/>
      </c>
      <c r="H6" t="inlineStr">
        <is>
          <t>Pending human ground truth annotation</t>
        </is>
      </c>
    </row>
    <row r="7">
      <c r="A7" t="inlineStr">
        <is>
          <t>INV-SAMPLE-001</t>
        </is>
      </c>
      <c r="B7" t="inlineStr">
        <is>
          <t>subtotal_amount</t>
        </is>
      </c>
      <c r="C7" t="inlineStr"/>
      <c r="D7" t="inlineStr"/>
      <c r="E7">
        <f>IF(C7="","PENDING",IF(EXACT(C7,D7),"YES","NO"))</f>
        <v/>
      </c>
      <c r="F7">
        <f>IF(C7="","PENDING",IF(TRIM(LOWER(C7))=TRIM(LOWER(D7)),"YES","NO"))</f>
        <v/>
      </c>
      <c r="G7">
        <f>IF(C7="","PENDING",IF(F7="NO","YES","NO"))</f>
        <v/>
      </c>
      <c r="H7" t="inlineStr">
        <is>
          <t>Pending human ground truth annotation</t>
        </is>
      </c>
    </row>
    <row r="8">
      <c r="A8" t="inlineStr">
        <is>
          <t>INV-SAMPLE-001</t>
        </is>
      </c>
      <c r="B8" t="inlineStr">
        <is>
          <t>tax_amount</t>
        </is>
      </c>
      <c r="C8" t="inlineStr"/>
      <c r="D8" t="inlineStr"/>
      <c r="E8">
        <f>IF(C8="","PENDING",IF(EXACT(C8,D8),"YES","NO"))</f>
        <v/>
      </c>
      <c r="F8">
        <f>IF(C8="","PENDING",IF(TRIM(LOWER(C8))=TRIM(LOWER(D8)),"YES","NO"))</f>
        <v/>
      </c>
      <c r="G8">
        <f>IF(C8="","PENDING",IF(F8="NO","YES","NO"))</f>
        <v/>
      </c>
      <c r="H8" t="inlineStr">
        <is>
          <t>Pending human ground truth annotation</t>
        </is>
      </c>
    </row>
    <row r="9">
      <c r="A9" t="inlineStr">
        <is>
          <t>INV-SAMPLE-001</t>
        </is>
      </c>
      <c r="B9" t="inlineStr">
        <is>
          <t>total_amount</t>
        </is>
      </c>
      <c r="C9" t="inlineStr"/>
      <c r="D9" t="inlineStr"/>
      <c r="E9">
        <f>IF(C9="","PENDING",IF(EXACT(C9,D9),"YES","NO"))</f>
        <v/>
      </c>
      <c r="F9">
        <f>IF(C9="","PENDING",IF(TRIM(LOWER(C9))=TRIM(LOWER(D9)),"YES","NO"))</f>
        <v/>
      </c>
      <c r="G9">
        <f>IF(C9="","PENDING",IF(F9="NO","YES","NO"))</f>
        <v/>
      </c>
      <c r="H9" t="inlineStr">
        <is>
          <t>Pending human ground truth annotation</t>
        </is>
      </c>
    </row>
    <row r="10">
      <c r="A10" t="inlineStr">
        <is>
          <t>INV-SAMPLE-001</t>
        </is>
      </c>
      <c r="B10" t="inlineStr">
        <is>
          <t>currency</t>
        </is>
      </c>
      <c r="C10" t="inlineStr"/>
      <c r="D10" t="inlineStr"/>
      <c r="E10">
        <f>IF(C10="","PENDING",IF(EXACT(C10,D10),"YES","NO"))</f>
        <v/>
      </c>
      <c r="F10">
        <f>IF(C10="","PENDING",IF(TRIM(LOWER(C10))=TRIM(LOWER(D10)),"YES","NO"))</f>
        <v/>
      </c>
      <c r="G10">
        <f>IF(C10="","PENDING",IF(F10="NO","YES","NO"))</f>
        <v/>
      </c>
      <c r="H10" t="inlineStr">
        <is>
          <t>Pending human ground truth annotation</t>
        </is>
      </c>
    </row>
    <row r="11">
      <c r="A11" t="inlineStr">
        <is>
          <t>INV-SAMPLE-002</t>
        </is>
      </c>
      <c r="B11" t="inlineStr">
        <is>
          <t>invoice_number</t>
        </is>
      </c>
      <c r="C11" t="inlineStr"/>
      <c r="D11" t="inlineStr"/>
      <c r="E11">
        <f>IF(C11="","PENDING",IF(EXACT(C11,D11),"YES","NO"))</f>
        <v/>
      </c>
      <c r="F11">
        <f>IF(C11="","PENDING",IF(TRIM(LOWER(C11))=TRIM(LOWER(D11)),"YES","NO"))</f>
        <v/>
      </c>
      <c r="G11">
        <f>IF(C11="","PENDING",IF(F11="NO","YES","NO"))</f>
        <v/>
      </c>
      <c r="H11" t="inlineStr">
        <is>
          <t>Pending human ground truth annotation</t>
        </is>
      </c>
    </row>
    <row r="12">
      <c r="A12" t="inlineStr">
        <is>
          <t>INV-SAMPLE-002</t>
        </is>
      </c>
      <c r="B12" t="inlineStr">
        <is>
          <t>invoice_date</t>
        </is>
      </c>
      <c r="C12" t="inlineStr"/>
      <c r="D12" t="inlineStr"/>
      <c r="E12">
        <f>IF(C12="","PENDING",IF(EXACT(C12,D12),"YES","NO"))</f>
        <v/>
      </c>
      <c r="F12">
        <f>IF(C12="","PENDING",IF(TRIM(LOWER(C12))=TRIM(LOWER(D12)),"YES","NO"))</f>
        <v/>
      </c>
      <c r="G12">
        <f>IF(C12="","PENDING",IF(F12="NO","YES","NO"))</f>
        <v/>
      </c>
      <c r="H12" t="inlineStr">
        <is>
          <t>Pending human ground truth annotation</t>
        </is>
      </c>
    </row>
    <row r="13">
      <c r="A13" t="inlineStr">
        <is>
          <t>INV-SAMPLE-002</t>
        </is>
      </c>
      <c r="B13" t="inlineStr">
        <is>
          <t>due_date</t>
        </is>
      </c>
      <c r="C13" t="inlineStr"/>
      <c r="D13" t="inlineStr"/>
      <c r="E13">
        <f>IF(C13="","PENDING",IF(EXACT(C13,D13),"YES","NO"))</f>
        <v/>
      </c>
      <c r="F13">
        <f>IF(C13="","PENDING",IF(TRIM(LOWER(C13))=TRIM(LOWER(D13)),"YES","NO"))</f>
        <v/>
      </c>
      <c r="G13">
        <f>IF(C13="","PENDING",IF(F13="NO","YES","NO"))</f>
        <v/>
      </c>
      <c r="H13" t="inlineStr">
        <is>
          <t>Pending human ground truth annotation</t>
        </is>
      </c>
    </row>
    <row r="14">
      <c r="A14" t="inlineStr">
        <is>
          <t>INV-SAMPLE-002</t>
        </is>
      </c>
      <c r="B14" t="inlineStr">
        <is>
          <t>vendor_name</t>
        </is>
      </c>
      <c r="C14" t="inlineStr"/>
      <c r="D14" t="inlineStr"/>
      <c r="E14">
        <f>IF(C14="","PENDING",IF(EXACT(C14,D14),"YES","NO"))</f>
        <v/>
      </c>
      <c r="F14">
        <f>IF(C14="","PENDING",IF(TRIM(LOWER(C14))=TRIM(LOWER(D14)),"YES","NO"))</f>
        <v/>
      </c>
      <c r="G14">
        <f>IF(C14="","PENDING",IF(F14="NO","YES","NO"))</f>
        <v/>
      </c>
      <c r="H14" t="inlineStr">
        <is>
          <t>Pending human ground truth annotation</t>
        </is>
      </c>
    </row>
    <row r="15">
      <c r="A15" t="inlineStr">
        <is>
          <t>INV-SAMPLE-002</t>
        </is>
      </c>
      <c r="B15" t="inlineStr">
        <is>
          <t>vendor_tax_id</t>
        </is>
      </c>
      <c r="C15" t="inlineStr"/>
      <c r="D15" t="inlineStr"/>
      <c r="E15">
        <f>IF(C15="","PENDING",IF(EXACT(C15,D15),"YES","NO"))</f>
        <v/>
      </c>
      <c r="F15">
        <f>IF(C15="","PENDING",IF(TRIM(LOWER(C15))=TRIM(LOWER(D15)),"YES","NO"))</f>
        <v/>
      </c>
      <c r="G15">
        <f>IF(C15="","PENDING",IF(F15="NO","YES","NO"))</f>
        <v/>
      </c>
      <c r="H15" t="inlineStr">
        <is>
          <t>Pending human ground truth annotation</t>
        </is>
      </c>
    </row>
    <row r="16">
      <c r="A16" t="inlineStr">
        <is>
          <t>INV-SAMPLE-002</t>
        </is>
      </c>
      <c r="B16" t="inlineStr">
        <is>
          <t>subtotal_amount</t>
        </is>
      </c>
      <c r="C16" t="inlineStr"/>
      <c r="D16" t="inlineStr"/>
      <c r="E16">
        <f>IF(C16="","PENDING",IF(EXACT(C16,D16),"YES","NO"))</f>
        <v/>
      </c>
      <c r="F16">
        <f>IF(C16="","PENDING",IF(TRIM(LOWER(C16))=TRIM(LOWER(D16)),"YES","NO"))</f>
        <v/>
      </c>
      <c r="G16">
        <f>IF(C16="","PENDING",IF(F16="NO","YES","NO"))</f>
        <v/>
      </c>
      <c r="H16" t="inlineStr">
        <is>
          <t>Pending human ground truth annotation</t>
        </is>
      </c>
    </row>
    <row r="17">
      <c r="A17" t="inlineStr">
        <is>
          <t>INV-SAMPLE-002</t>
        </is>
      </c>
      <c r="B17" t="inlineStr">
        <is>
          <t>tax_amount</t>
        </is>
      </c>
      <c r="C17" t="inlineStr"/>
      <c r="D17" t="inlineStr"/>
      <c r="E17">
        <f>IF(C17="","PENDING",IF(EXACT(C17,D17),"YES","NO"))</f>
        <v/>
      </c>
      <c r="F17">
        <f>IF(C17="","PENDING",IF(TRIM(LOWER(C17))=TRIM(LOWER(D17)),"YES","NO"))</f>
        <v/>
      </c>
      <c r="G17">
        <f>IF(C17="","PENDING",IF(F17="NO","YES","NO"))</f>
        <v/>
      </c>
      <c r="H17" t="inlineStr">
        <is>
          <t>Pending human ground truth annotation</t>
        </is>
      </c>
    </row>
    <row r="18">
      <c r="A18" t="inlineStr">
        <is>
          <t>INV-SAMPLE-002</t>
        </is>
      </c>
      <c r="B18" t="inlineStr">
        <is>
          <t>total_amount</t>
        </is>
      </c>
      <c r="C18" t="inlineStr"/>
      <c r="D18" t="inlineStr"/>
      <c r="E18">
        <f>IF(C18="","PENDING",IF(EXACT(C18,D18),"YES","NO"))</f>
        <v/>
      </c>
      <c r="F18">
        <f>IF(C18="","PENDING",IF(TRIM(LOWER(C18))=TRIM(LOWER(D18)),"YES","NO"))</f>
        <v/>
      </c>
      <c r="G18">
        <f>IF(C18="","PENDING",IF(F18="NO","YES","NO"))</f>
        <v/>
      </c>
      <c r="H18" t="inlineStr">
        <is>
          <t>Pending human ground truth annotation</t>
        </is>
      </c>
    </row>
    <row r="19">
      <c r="A19" t="inlineStr">
        <is>
          <t>INV-SAMPLE-002</t>
        </is>
      </c>
      <c r="B19" t="inlineStr">
        <is>
          <t>currency</t>
        </is>
      </c>
      <c r="C19" t="inlineStr"/>
      <c r="D19" t="inlineStr"/>
      <c r="E19">
        <f>IF(C19="","PENDING",IF(EXACT(C19,D19),"YES","NO"))</f>
        <v/>
      </c>
      <c r="F19">
        <f>IF(C19="","PENDING",IF(TRIM(LOWER(C19))=TRIM(LOWER(D19)),"YES","NO"))</f>
        <v/>
      </c>
      <c r="G19">
        <f>IF(C19="","PENDING",IF(F19="NO","YES","NO"))</f>
        <v/>
      </c>
      <c r="H19" t="inlineStr">
        <is>
          <t>Pending human ground truth annotation</t>
        </is>
      </c>
    </row>
    <row r="20">
      <c r="A20" t="inlineStr">
        <is>
          <t>INV-SAMPLE-003</t>
        </is>
      </c>
      <c r="B20" t="inlineStr">
        <is>
          <t>invoice_number</t>
        </is>
      </c>
      <c r="C20" t="inlineStr"/>
      <c r="D20" t="inlineStr"/>
      <c r="E20">
        <f>IF(C20="","PENDING",IF(EXACT(C20,D20),"YES","NO"))</f>
        <v/>
      </c>
      <c r="F20">
        <f>IF(C20="","PENDING",IF(TRIM(LOWER(C20))=TRIM(LOWER(D20)),"YES","NO"))</f>
        <v/>
      </c>
      <c r="G20">
        <f>IF(C20="","PENDING",IF(F20="NO","YES","NO"))</f>
        <v/>
      </c>
      <c r="H20" t="inlineStr">
        <is>
          <t>Pending human ground truth annotation</t>
        </is>
      </c>
    </row>
    <row r="21">
      <c r="A21" t="inlineStr">
        <is>
          <t>INV-SAMPLE-003</t>
        </is>
      </c>
      <c r="B21" t="inlineStr">
        <is>
          <t>invoice_date</t>
        </is>
      </c>
      <c r="C21" t="inlineStr"/>
      <c r="D21" t="inlineStr"/>
      <c r="E21">
        <f>IF(C21="","PENDING",IF(EXACT(C21,D21),"YES","NO"))</f>
        <v/>
      </c>
      <c r="F21">
        <f>IF(C21="","PENDING",IF(TRIM(LOWER(C21))=TRIM(LOWER(D21)),"YES","NO"))</f>
        <v/>
      </c>
      <c r="G21">
        <f>IF(C21="","PENDING",IF(F21="NO","YES","NO"))</f>
        <v/>
      </c>
      <c r="H21" t="inlineStr">
        <is>
          <t>Pending human ground truth annotation</t>
        </is>
      </c>
    </row>
    <row r="22">
      <c r="A22" t="inlineStr">
        <is>
          <t>INV-SAMPLE-003</t>
        </is>
      </c>
      <c r="B22" t="inlineStr">
        <is>
          <t>due_date</t>
        </is>
      </c>
      <c r="C22" t="inlineStr"/>
      <c r="D22" t="inlineStr"/>
      <c r="E22">
        <f>IF(C22="","PENDING",IF(EXACT(C22,D22),"YES","NO"))</f>
        <v/>
      </c>
      <c r="F22">
        <f>IF(C22="","PENDING",IF(TRIM(LOWER(C22))=TRIM(LOWER(D22)),"YES","NO"))</f>
        <v/>
      </c>
      <c r="G22">
        <f>IF(C22="","PENDING",IF(F22="NO","YES","NO"))</f>
        <v/>
      </c>
      <c r="H22" t="inlineStr">
        <is>
          <t>Pending human ground truth annotation</t>
        </is>
      </c>
    </row>
    <row r="23">
      <c r="A23" t="inlineStr">
        <is>
          <t>INV-SAMPLE-003</t>
        </is>
      </c>
      <c r="B23" t="inlineStr">
        <is>
          <t>vendor_name</t>
        </is>
      </c>
      <c r="C23" t="inlineStr"/>
      <c r="D23" t="inlineStr"/>
      <c r="E23">
        <f>IF(C23="","PENDING",IF(EXACT(C23,D23),"YES","NO"))</f>
        <v/>
      </c>
      <c r="F23">
        <f>IF(C23="","PENDING",IF(TRIM(LOWER(C23))=TRIM(LOWER(D23)),"YES","NO"))</f>
        <v/>
      </c>
      <c r="G23">
        <f>IF(C23="","PENDING",IF(F23="NO","YES","NO"))</f>
        <v/>
      </c>
      <c r="H23" t="inlineStr">
        <is>
          <t>Pending human ground truth annotation</t>
        </is>
      </c>
    </row>
    <row r="24">
      <c r="A24" t="inlineStr">
        <is>
          <t>INV-SAMPLE-003</t>
        </is>
      </c>
      <c r="B24" t="inlineStr">
        <is>
          <t>vendor_tax_id</t>
        </is>
      </c>
      <c r="C24" t="inlineStr"/>
      <c r="D24" t="inlineStr"/>
      <c r="E24">
        <f>IF(C24="","PENDING",IF(EXACT(C24,D24),"YES","NO"))</f>
        <v/>
      </c>
      <c r="F24">
        <f>IF(C24="","PENDING",IF(TRIM(LOWER(C24))=TRIM(LOWER(D24)),"YES","NO"))</f>
        <v/>
      </c>
      <c r="G24">
        <f>IF(C24="","PENDING",IF(F24="NO","YES","NO"))</f>
        <v/>
      </c>
      <c r="H24" t="inlineStr">
        <is>
          <t>Pending human ground truth annotation</t>
        </is>
      </c>
    </row>
    <row r="25">
      <c r="A25" t="inlineStr">
        <is>
          <t>INV-SAMPLE-003</t>
        </is>
      </c>
      <c r="B25" t="inlineStr">
        <is>
          <t>subtotal_amount</t>
        </is>
      </c>
      <c r="C25" t="inlineStr"/>
      <c r="D25" t="inlineStr"/>
      <c r="E25">
        <f>IF(C25="","PENDING",IF(EXACT(C25,D25),"YES","NO"))</f>
        <v/>
      </c>
      <c r="F25">
        <f>IF(C25="","PENDING",IF(TRIM(LOWER(C25))=TRIM(LOWER(D25)),"YES","NO"))</f>
        <v/>
      </c>
      <c r="G25">
        <f>IF(C25="","PENDING",IF(F25="NO","YES","NO"))</f>
        <v/>
      </c>
      <c r="H25" t="inlineStr">
        <is>
          <t>Pending human ground truth annotation</t>
        </is>
      </c>
    </row>
    <row r="26">
      <c r="A26" t="inlineStr">
        <is>
          <t>INV-SAMPLE-003</t>
        </is>
      </c>
      <c r="B26" t="inlineStr">
        <is>
          <t>tax_amount</t>
        </is>
      </c>
      <c r="C26" t="inlineStr"/>
      <c r="D26" t="inlineStr"/>
      <c r="E26">
        <f>IF(C26="","PENDING",IF(EXACT(C26,D26),"YES","NO"))</f>
        <v/>
      </c>
      <c r="F26">
        <f>IF(C26="","PENDING",IF(TRIM(LOWER(C26))=TRIM(LOWER(D26)),"YES","NO"))</f>
        <v/>
      </c>
      <c r="G26">
        <f>IF(C26="","PENDING",IF(F26="NO","YES","NO"))</f>
        <v/>
      </c>
      <c r="H26" t="inlineStr">
        <is>
          <t>Pending human ground truth annotation</t>
        </is>
      </c>
    </row>
    <row r="27">
      <c r="A27" t="inlineStr">
        <is>
          <t>INV-SAMPLE-003</t>
        </is>
      </c>
      <c r="B27" t="inlineStr">
        <is>
          <t>total_amount</t>
        </is>
      </c>
      <c r="C27" t="inlineStr"/>
      <c r="D27" t="inlineStr"/>
      <c r="E27">
        <f>IF(C27="","PENDING",IF(EXACT(C27,D27),"YES","NO"))</f>
        <v/>
      </c>
      <c r="F27">
        <f>IF(C27="","PENDING",IF(TRIM(LOWER(C27))=TRIM(LOWER(D27)),"YES","NO"))</f>
        <v/>
      </c>
      <c r="G27">
        <f>IF(C27="","PENDING",IF(F27="NO","YES","NO"))</f>
        <v/>
      </c>
      <c r="H27" t="inlineStr">
        <is>
          <t>Pending human ground truth annotation</t>
        </is>
      </c>
    </row>
    <row r="28">
      <c r="A28" t="inlineStr">
        <is>
          <t>INV-SAMPLE-003</t>
        </is>
      </c>
      <c r="B28" t="inlineStr">
        <is>
          <t>currency</t>
        </is>
      </c>
      <c r="C28" t="inlineStr"/>
      <c r="D28" t="inlineStr"/>
      <c r="E28">
        <f>IF(C28="","PENDING",IF(EXACT(C28,D28),"YES","NO"))</f>
        <v/>
      </c>
      <c r="F28">
        <f>IF(C28="","PENDING",IF(TRIM(LOWER(C28))=TRIM(LOWER(D28)),"YES","NO"))</f>
        <v/>
      </c>
      <c r="G28">
        <f>IF(C28="","PENDING",IF(F28="NO","YES","NO"))</f>
        <v/>
      </c>
      <c r="H28" t="inlineStr">
        <is>
          <t>Pending human ground truth annotation</t>
        </is>
      </c>
    </row>
    <row r="29">
      <c r="A29" t="inlineStr">
        <is>
          <t>INV-SAMPLE-004</t>
        </is>
      </c>
      <c r="B29" t="inlineStr">
        <is>
          <t>invoice_number</t>
        </is>
      </c>
      <c r="C29" t="inlineStr"/>
      <c r="D29" t="inlineStr"/>
      <c r="E29">
        <f>IF(C29="","PENDING",IF(EXACT(C29,D29),"YES","NO"))</f>
        <v/>
      </c>
      <c r="F29">
        <f>IF(C29="","PENDING",IF(TRIM(LOWER(C29))=TRIM(LOWER(D29)),"YES","NO"))</f>
        <v/>
      </c>
      <c r="G29">
        <f>IF(C29="","PENDING",IF(F29="NO","YES","NO"))</f>
        <v/>
      </c>
      <c r="H29" t="inlineStr">
        <is>
          <t>Pending human ground truth annotation</t>
        </is>
      </c>
    </row>
    <row r="30">
      <c r="A30" t="inlineStr">
        <is>
          <t>INV-SAMPLE-004</t>
        </is>
      </c>
      <c r="B30" t="inlineStr">
        <is>
          <t>invoice_date</t>
        </is>
      </c>
      <c r="C30" t="inlineStr"/>
      <c r="D30" t="inlineStr"/>
      <c r="E30">
        <f>IF(C30="","PENDING",IF(EXACT(C30,D30),"YES","NO"))</f>
        <v/>
      </c>
      <c r="F30">
        <f>IF(C30="","PENDING",IF(TRIM(LOWER(C30))=TRIM(LOWER(D30)),"YES","NO"))</f>
        <v/>
      </c>
      <c r="G30">
        <f>IF(C30="","PENDING",IF(F30="NO","YES","NO"))</f>
        <v/>
      </c>
      <c r="H30" t="inlineStr">
        <is>
          <t>Pending human ground truth annotation</t>
        </is>
      </c>
    </row>
    <row r="31">
      <c r="A31" t="inlineStr">
        <is>
          <t>INV-SAMPLE-004</t>
        </is>
      </c>
      <c r="B31" t="inlineStr">
        <is>
          <t>due_date</t>
        </is>
      </c>
      <c r="C31" t="inlineStr"/>
      <c r="D31" t="inlineStr"/>
      <c r="E31">
        <f>IF(C31="","PENDING",IF(EXACT(C31,D31),"YES","NO"))</f>
        <v/>
      </c>
      <c r="F31">
        <f>IF(C31="","PENDING",IF(TRIM(LOWER(C31))=TRIM(LOWER(D31)),"YES","NO"))</f>
        <v/>
      </c>
      <c r="G31">
        <f>IF(C31="","PENDING",IF(F31="NO","YES","NO"))</f>
        <v/>
      </c>
      <c r="H31" t="inlineStr">
        <is>
          <t>Pending human ground truth annotation</t>
        </is>
      </c>
    </row>
    <row r="32">
      <c r="A32" t="inlineStr">
        <is>
          <t>INV-SAMPLE-004</t>
        </is>
      </c>
      <c r="B32" t="inlineStr">
        <is>
          <t>vendor_name</t>
        </is>
      </c>
      <c r="C32" t="inlineStr"/>
      <c r="D32" t="inlineStr"/>
      <c r="E32">
        <f>IF(C32="","PENDING",IF(EXACT(C32,D32),"YES","NO"))</f>
        <v/>
      </c>
      <c r="F32">
        <f>IF(C32="","PENDING",IF(TRIM(LOWER(C32))=TRIM(LOWER(D32)),"YES","NO"))</f>
        <v/>
      </c>
      <c r="G32">
        <f>IF(C32="","PENDING",IF(F32="NO","YES","NO"))</f>
        <v/>
      </c>
      <c r="H32" t="inlineStr">
        <is>
          <t>Pending human ground truth annotation</t>
        </is>
      </c>
    </row>
    <row r="33">
      <c r="A33" t="inlineStr">
        <is>
          <t>INV-SAMPLE-004</t>
        </is>
      </c>
      <c r="B33" t="inlineStr">
        <is>
          <t>vendor_tax_id</t>
        </is>
      </c>
      <c r="C33" t="inlineStr"/>
      <c r="D33" t="inlineStr"/>
      <c r="E33">
        <f>IF(C33="","PENDING",IF(EXACT(C33,D33),"YES","NO"))</f>
        <v/>
      </c>
      <c r="F33">
        <f>IF(C33="","PENDING",IF(TRIM(LOWER(C33))=TRIM(LOWER(D33)),"YES","NO"))</f>
        <v/>
      </c>
      <c r="G33">
        <f>IF(C33="","PENDING",IF(F33="NO","YES","NO"))</f>
        <v/>
      </c>
      <c r="H33" t="inlineStr">
        <is>
          <t>Pending human ground truth annotation</t>
        </is>
      </c>
    </row>
    <row r="34">
      <c r="A34" t="inlineStr">
        <is>
          <t>INV-SAMPLE-004</t>
        </is>
      </c>
      <c r="B34" t="inlineStr">
        <is>
          <t>subtotal_amount</t>
        </is>
      </c>
      <c r="C34" t="inlineStr"/>
      <c r="D34" t="inlineStr"/>
      <c r="E34">
        <f>IF(C34="","PENDING",IF(EXACT(C34,D34),"YES","NO"))</f>
        <v/>
      </c>
      <c r="F34">
        <f>IF(C34="","PENDING",IF(TRIM(LOWER(C34))=TRIM(LOWER(D34)),"YES","NO"))</f>
        <v/>
      </c>
      <c r="G34">
        <f>IF(C34="","PENDING",IF(F34="NO","YES","NO"))</f>
        <v/>
      </c>
      <c r="H34" t="inlineStr">
        <is>
          <t>Pending human ground truth annotation</t>
        </is>
      </c>
    </row>
    <row r="35">
      <c r="A35" t="inlineStr">
        <is>
          <t>INV-SAMPLE-004</t>
        </is>
      </c>
      <c r="B35" t="inlineStr">
        <is>
          <t>tax_amount</t>
        </is>
      </c>
      <c r="C35" t="inlineStr"/>
      <c r="D35" t="inlineStr"/>
      <c r="E35">
        <f>IF(C35="","PENDING",IF(EXACT(C35,D35),"YES","NO"))</f>
        <v/>
      </c>
      <c r="F35">
        <f>IF(C35="","PENDING",IF(TRIM(LOWER(C35))=TRIM(LOWER(D35)),"YES","NO"))</f>
        <v/>
      </c>
      <c r="G35">
        <f>IF(C35="","PENDING",IF(F35="NO","YES","NO"))</f>
        <v/>
      </c>
      <c r="H35" t="inlineStr">
        <is>
          <t>Pending human ground truth annotation</t>
        </is>
      </c>
    </row>
    <row r="36">
      <c r="A36" t="inlineStr">
        <is>
          <t>INV-SAMPLE-004</t>
        </is>
      </c>
      <c r="B36" t="inlineStr">
        <is>
          <t>total_amount</t>
        </is>
      </c>
      <c r="C36" t="inlineStr"/>
      <c r="D36" t="inlineStr"/>
      <c r="E36">
        <f>IF(C36="","PENDING",IF(EXACT(C36,D36),"YES","NO"))</f>
        <v/>
      </c>
      <c r="F36">
        <f>IF(C36="","PENDING",IF(TRIM(LOWER(C36))=TRIM(LOWER(D36)),"YES","NO"))</f>
        <v/>
      </c>
      <c r="G36">
        <f>IF(C36="","PENDING",IF(F36="NO","YES","NO"))</f>
        <v/>
      </c>
      <c r="H36" t="inlineStr">
        <is>
          <t>Pending human ground truth annotation</t>
        </is>
      </c>
    </row>
    <row r="37">
      <c r="A37" t="inlineStr">
        <is>
          <t>INV-SAMPLE-004</t>
        </is>
      </c>
      <c r="B37" t="inlineStr">
        <is>
          <t>currency</t>
        </is>
      </c>
      <c r="C37" t="inlineStr"/>
      <c r="D37" t="inlineStr"/>
      <c r="E37">
        <f>IF(C37="","PENDING",IF(EXACT(C37,D37),"YES","NO"))</f>
        <v/>
      </c>
      <c r="F37">
        <f>IF(C37="","PENDING",IF(TRIM(LOWER(C37))=TRIM(LOWER(D37)),"YES","NO"))</f>
        <v/>
      </c>
      <c r="G37">
        <f>IF(C37="","PENDING",IF(F37="NO","YES","NO"))</f>
        <v/>
      </c>
      <c r="H37" t="inlineStr">
        <is>
          <t>Pending human ground truth annotation</t>
        </is>
      </c>
    </row>
    <row r="38">
      <c r="A38" t="inlineStr">
        <is>
          <t>INV-SAMPLE-005</t>
        </is>
      </c>
      <c r="B38" t="inlineStr">
        <is>
          <t>invoice_number</t>
        </is>
      </c>
      <c r="C38" t="inlineStr"/>
      <c r="D38" t="inlineStr"/>
      <c r="E38">
        <f>IF(C38="","PENDING",IF(EXACT(C38,D38),"YES","NO"))</f>
        <v/>
      </c>
      <c r="F38">
        <f>IF(C38="","PENDING",IF(TRIM(LOWER(C38))=TRIM(LOWER(D38)),"YES","NO"))</f>
        <v/>
      </c>
      <c r="G38">
        <f>IF(C38="","PENDING",IF(F38="NO","YES","NO"))</f>
        <v/>
      </c>
      <c r="H38" t="inlineStr">
        <is>
          <t>Pending human ground truth annotation</t>
        </is>
      </c>
    </row>
    <row r="39">
      <c r="A39" t="inlineStr">
        <is>
          <t>INV-SAMPLE-005</t>
        </is>
      </c>
      <c r="B39" t="inlineStr">
        <is>
          <t>invoice_date</t>
        </is>
      </c>
      <c r="C39" t="inlineStr"/>
      <c r="D39" t="inlineStr"/>
      <c r="E39">
        <f>IF(C39="","PENDING",IF(EXACT(C39,D39),"YES","NO"))</f>
        <v/>
      </c>
      <c r="F39">
        <f>IF(C39="","PENDING",IF(TRIM(LOWER(C39))=TRIM(LOWER(D39)),"YES","NO"))</f>
        <v/>
      </c>
      <c r="G39">
        <f>IF(C39="","PENDING",IF(F39="NO","YES","NO"))</f>
        <v/>
      </c>
      <c r="H39" t="inlineStr">
        <is>
          <t>Pending human ground truth annotation</t>
        </is>
      </c>
    </row>
    <row r="40">
      <c r="A40" t="inlineStr">
        <is>
          <t>INV-SAMPLE-005</t>
        </is>
      </c>
      <c r="B40" t="inlineStr">
        <is>
          <t>due_date</t>
        </is>
      </c>
      <c r="C40" t="inlineStr"/>
      <c r="D40" t="inlineStr"/>
      <c r="E40">
        <f>IF(C40="","PENDING",IF(EXACT(C40,D40),"YES","NO"))</f>
        <v/>
      </c>
      <c r="F40">
        <f>IF(C40="","PENDING",IF(TRIM(LOWER(C40))=TRIM(LOWER(D40)),"YES","NO"))</f>
        <v/>
      </c>
      <c r="G40">
        <f>IF(C40="","PENDING",IF(F40="NO","YES","NO"))</f>
        <v/>
      </c>
      <c r="H40" t="inlineStr">
        <is>
          <t>Pending human ground truth annotation</t>
        </is>
      </c>
    </row>
    <row r="41">
      <c r="A41" t="inlineStr">
        <is>
          <t>INV-SAMPLE-005</t>
        </is>
      </c>
      <c r="B41" t="inlineStr">
        <is>
          <t>vendor_name</t>
        </is>
      </c>
      <c r="C41" t="inlineStr"/>
      <c r="D41" t="inlineStr"/>
      <c r="E41">
        <f>IF(C41="","PENDING",IF(EXACT(C41,D41),"YES","NO"))</f>
        <v/>
      </c>
      <c r="F41">
        <f>IF(C41="","PENDING",IF(TRIM(LOWER(C41))=TRIM(LOWER(D41)),"YES","NO"))</f>
        <v/>
      </c>
      <c r="G41">
        <f>IF(C41="","PENDING",IF(F41="NO","YES","NO"))</f>
        <v/>
      </c>
      <c r="H41" t="inlineStr">
        <is>
          <t>Pending human ground truth annotation</t>
        </is>
      </c>
    </row>
    <row r="42">
      <c r="A42" t="inlineStr">
        <is>
          <t>INV-SAMPLE-005</t>
        </is>
      </c>
      <c r="B42" t="inlineStr">
        <is>
          <t>vendor_tax_id</t>
        </is>
      </c>
      <c r="C42" t="inlineStr"/>
      <c r="D42" t="inlineStr"/>
      <c r="E42">
        <f>IF(C42="","PENDING",IF(EXACT(C42,D42),"YES","NO"))</f>
        <v/>
      </c>
      <c r="F42">
        <f>IF(C42="","PENDING",IF(TRIM(LOWER(C42))=TRIM(LOWER(D42)),"YES","NO"))</f>
        <v/>
      </c>
      <c r="G42">
        <f>IF(C42="","PENDING",IF(F42="NO","YES","NO"))</f>
        <v/>
      </c>
      <c r="H42" t="inlineStr">
        <is>
          <t>Pending human ground truth annotation</t>
        </is>
      </c>
    </row>
    <row r="43">
      <c r="A43" t="inlineStr">
        <is>
          <t>INV-SAMPLE-005</t>
        </is>
      </c>
      <c r="B43" t="inlineStr">
        <is>
          <t>subtotal_amount</t>
        </is>
      </c>
      <c r="C43" t="inlineStr"/>
      <c r="D43" t="inlineStr"/>
      <c r="E43">
        <f>IF(C43="","PENDING",IF(EXACT(C43,D43),"YES","NO"))</f>
        <v/>
      </c>
      <c r="F43">
        <f>IF(C43="","PENDING",IF(TRIM(LOWER(C43))=TRIM(LOWER(D43)),"YES","NO"))</f>
        <v/>
      </c>
      <c r="G43">
        <f>IF(C43="","PENDING",IF(F43="NO","YES","NO"))</f>
        <v/>
      </c>
      <c r="H43" t="inlineStr">
        <is>
          <t>Pending human ground truth annotation</t>
        </is>
      </c>
    </row>
    <row r="44">
      <c r="A44" t="inlineStr">
        <is>
          <t>INV-SAMPLE-005</t>
        </is>
      </c>
      <c r="B44" t="inlineStr">
        <is>
          <t>tax_amount</t>
        </is>
      </c>
      <c r="C44" t="inlineStr"/>
      <c r="D44" t="inlineStr"/>
      <c r="E44">
        <f>IF(C44="","PENDING",IF(EXACT(C44,D44),"YES","NO"))</f>
        <v/>
      </c>
      <c r="F44">
        <f>IF(C44="","PENDING",IF(TRIM(LOWER(C44))=TRIM(LOWER(D44)),"YES","NO"))</f>
        <v/>
      </c>
      <c r="G44">
        <f>IF(C44="","PENDING",IF(F44="NO","YES","NO"))</f>
        <v/>
      </c>
      <c r="H44" t="inlineStr">
        <is>
          <t>Pending human ground truth annotation</t>
        </is>
      </c>
    </row>
    <row r="45">
      <c r="A45" t="inlineStr">
        <is>
          <t>INV-SAMPLE-005</t>
        </is>
      </c>
      <c r="B45" t="inlineStr">
        <is>
          <t>total_amount</t>
        </is>
      </c>
      <c r="C45" t="inlineStr"/>
      <c r="D45" t="inlineStr"/>
      <c r="E45">
        <f>IF(C45="","PENDING",IF(EXACT(C45,D45),"YES","NO"))</f>
        <v/>
      </c>
      <c r="F45">
        <f>IF(C45="","PENDING",IF(TRIM(LOWER(C45))=TRIM(LOWER(D45)),"YES","NO"))</f>
        <v/>
      </c>
      <c r="G45">
        <f>IF(C45="","PENDING",IF(F45="NO","YES","NO"))</f>
        <v/>
      </c>
      <c r="H45" t="inlineStr">
        <is>
          <t>Pending human ground truth annotation</t>
        </is>
      </c>
    </row>
    <row r="46">
      <c r="A46" t="inlineStr">
        <is>
          <t>INV-SAMPLE-005</t>
        </is>
      </c>
      <c r="B46" t="inlineStr">
        <is>
          <t>currency</t>
        </is>
      </c>
      <c r="C46" t="inlineStr"/>
      <c r="D46" t="inlineStr"/>
      <c r="E46">
        <f>IF(C46="","PENDING",IF(EXACT(C46,D46),"YES","NO"))</f>
        <v/>
      </c>
      <c r="F46">
        <f>IF(C46="","PENDING",IF(TRIM(LOWER(C46))=TRIM(LOWER(D46)),"YES","NO"))</f>
        <v/>
      </c>
      <c r="G46">
        <f>IF(C46="","PENDING",IF(F46="NO","YES","NO"))</f>
        <v/>
      </c>
      <c r="H46" t="inlineStr">
        <is>
          <t>Pending human ground truth annotation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1" customWidth="1" min="3" max="3"/>
    <col width="22" customWidth="1" min="4" max="4"/>
    <col width="16" customWidth="1" min="5" max="5"/>
    <col width="16" customWidth="1" min="6" max="6"/>
    <col width="22" customWidth="1" min="7" max="7"/>
  </cols>
  <sheetData>
    <row r="1">
      <c r="A1" s="5" t="inlineStr">
        <is>
          <t>Invoice_ID</t>
        </is>
      </c>
      <c r="B1" s="5" t="inlineStr">
        <is>
          <t>Image_File</t>
        </is>
      </c>
      <c r="C1" s="5" t="inlineStr">
        <is>
          <t>Ground_Truth_Text</t>
        </is>
      </c>
      <c r="D1" s="5" t="inlineStr">
        <is>
          <t>OCR_Extracted_Text</t>
        </is>
      </c>
      <c r="E1" s="5" t="inlineStr">
        <is>
          <t>CER_Estimate</t>
        </is>
      </c>
      <c r="F1" s="5" t="inlineStr">
        <is>
          <t>WER_Estimate</t>
        </is>
      </c>
      <c r="G1" s="5" t="inlineStr">
        <is>
          <t>Annotation_Status</t>
        </is>
      </c>
    </row>
    <row r="2">
      <c r="A2" t="inlineStr">
        <is>
          <t>INV-SAMPLE-001</t>
        </is>
      </c>
      <c r="B2" t="inlineStr">
        <is>
          <t>invoice_sample_001.pdf</t>
        </is>
      </c>
      <c r="C2" t="inlineStr"/>
      <c r="D2" t="inlineStr"/>
      <c r="E2" t="inlineStr">
        <is>
          <t>PENDING</t>
        </is>
      </c>
      <c r="F2" t="inlineStr">
        <is>
          <t>PENDING</t>
        </is>
      </c>
      <c r="G2" t="inlineStr">
        <is>
          <t>PENDING ANNOTATION</t>
        </is>
      </c>
    </row>
    <row r="3">
      <c r="A3" t="inlineStr">
        <is>
          <t>INV-SAMPLE-002</t>
        </is>
      </c>
      <c r="B3" t="inlineStr">
        <is>
          <t>invoice_sample_002.pdf</t>
        </is>
      </c>
      <c r="C3" t="inlineStr"/>
      <c r="D3" t="inlineStr"/>
      <c r="E3" t="inlineStr">
        <is>
          <t>PENDING</t>
        </is>
      </c>
      <c r="F3" t="inlineStr">
        <is>
          <t>PENDING</t>
        </is>
      </c>
      <c r="G3" t="inlineStr">
        <is>
          <t>PENDING ANNOTATION</t>
        </is>
      </c>
    </row>
    <row r="4">
      <c r="A4" t="inlineStr">
        <is>
          <t>INV-SAMPLE-003</t>
        </is>
      </c>
      <c r="B4" t="inlineStr">
        <is>
          <t>invoice_sample_003.pdf</t>
        </is>
      </c>
      <c r="C4" t="inlineStr"/>
      <c r="D4" t="inlineStr"/>
      <c r="E4" t="inlineStr">
        <is>
          <t>PENDING</t>
        </is>
      </c>
      <c r="F4" t="inlineStr">
        <is>
          <t>PENDING</t>
        </is>
      </c>
      <c r="G4" t="inlineStr">
        <is>
          <t>PENDING ANNOTATION</t>
        </is>
      </c>
    </row>
    <row r="5">
      <c r="A5" t="inlineStr">
        <is>
          <t>INV-SAMPLE-004</t>
        </is>
      </c>
      <c r="B5" t="inlineStr">
        <is>
          <t>invoice_sample_004.pdf</t>
        </is>
      </c>
      <c r="C5" t="inlineStr"/>
      <c r="D5" t="inlineStr"/>
      <c r="E5" t="inlineStr">
        <is>
          <t>PENDING</t>
        </is>
      </c>
      <c r="F5" t="inlineStr">
        <is>
          <t>PENDING</t>
        </is>
      </c>
      <c r="G5" t="inlineStr">
        <is>
          <t>PENDING ANNOTATION</t>
        </is>
      </c>
    </row>
    <row r="6">
      <c r="A6" t="inlineStr">
        <is>
          <t>INV-SAMPLE-005</t>
        </is>
      </c>
      <c r="B6" t="inlineStr">
        <is>
          <t>invoice_sample_005.pdf</t>
        </is>
      </c>
      <c r="C6" t="inlineStr"/>
      <c r="D6" t="inlineStr"/>
      <c r="E6" t="inlineStr">
        <is>
          <t>PENDING</t>
        </is>
      </c>
      <c r="F6" t="inlineStr">
        <is>
          <t>PENDING</t>
        </is>
      </c>
      <c r="G6" t="inlineStr">
        <is>
          <t>PENDING ANNOTATION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9" customWidth="1" min="3" max="3"/>
    <col width="15" customWidth="1" min="4" max="4"/>
    <col width="34" customWidth="1" min="5" max="5"/>
    <col width="23" customWidth="1" min="6" max="6"/>
    <col width="23" customWidth="1" min="7" max="7"/>
  </cols>
  <sheetData>
    <row r="1">
      <c r="A1" s="5" t="inlineStr">
        <is>
          <t>Sample_ID</t>
        </is>
      </c>
      <c r="B1" s="5" t="inlineStr">
        <is>
          <t>Pipeline_Stage</t>
        </is>
      </c>
      <c r="C1" s="5" t="inlineStr">
        <is>
          <t>Latency_Seconds</t>
        </is>
      </c>
      <c r="D1" s="5" t="inlineStr">
        <is>
          <t>HTTP_Status</t>
        </is>
      </c>
      <c r="E1" s="5" t="inlineStr">
        <is>
          <t>Execution_Environment</t>
        </is>
      </c>
      <c r="F1" s="5" t="inlineStr">
        <is>
          <t>Timestamp</t>
        </is>
      </c>
      <c r="G1" s="5" t="inlineStr">
        <is>
          <t>Verification_Status</t>
        </is>
      </c>
    </row>
    <row r="2">
      <c r="A2" t="inlineStr">
        <is>
          <t>BENCH-001</t>
        </is>
      </c>
      <c r="B2" t="inlineStr">
        <is>
          <t>GET /health (Liveness Probe)</t>
        </is>
      </c>
      <c r="C2" t="n">
        <v>0.0105</v>
      </c>
      <c r="D2" t="n">
        <v>200</v>
      </c>
      <c r="E2" t="inlineStr">
        <is>
          <t>FastAPI / Uvicorn (Localhost)</t>
        </is>
      </c>
      <c r="F2" t="inlineStr">
        <is>
          <t>2026-10-14 14:24:00</t>
        </is>
      </c>
      <c r="G2" t="inlineStr">
        <is>
          <t>VERIFIED</t>
        </is>
      </c>
    </row>
    <row r="3">
      <c r="A3" t="inlineStr">
        <is>
          <t>BENCH-002</t>
        </is>
      </c>
      <c r="B3" t="inlineStr">
        <is>
          <t>GET /api/health (Service Diagnostics)</t>
        </is>
      </c>
      <c r="C3" t="n">
        <v>0.0081</v>
      </c>
      <c r="D3" t="n">
        <v>200</v>
      </c>
      <c r="E3" t="inlineStr">
        <is>
          <t>FastAPI / Uvicorn (Localhost)</t>
        </is>
      </c>
      <c r="F3" t="inlineStr">
        <is>
          <t>2026-10-14 14:24:00</t>
        </is>
      </c>
      <c r="G3" t="inlineStr">
        <is>
          <t>VERIFIED</t>
        </is>
      </c>
    </row>
    <row r="4">
      <c r="A4" t="inlineStr">
        <is>
          <t>BENCH-003</t>
        </is>
      </c>
      <c r="B4" t="inlineStr">
        <is>
          <t>GET /api/documents?limit=20 (Document Retrieval)</t>
        </is>
      </c>
      <c r="C4" t="n">
        <v>0.9074</v>
      </c>
      <c r="D4" t="n">
        <v>200</v>
      </c>
      <c r="E4" t="inlineStr">
        <is>
          <t>FastAPI + MSSQL Localhost:1433</t>
        </is>
      </c>
      <c r="F4" t="inlineStr">
        <is>
          <t>2026-10-14 14:24:01</t>
        </is>
      </c>
      <c r="G4" t="inlineStr">
        <is>
          <t>VERIFIED</t>
        </is>
      </c>
    </row>
    <row r="5">
      <c r="A5" t="inlineStr">
        <is>
          <t>BENCH-004</t>
        </is>
      </c>
      <c r="B5" t="inlineStr">
        <is>
          <t>GET /api/workflows (Workflow Definitions)</t>
        </is>
      </c>
      <c r="C5" t="n">
        <v>0.1473</v>
      </c>
      <c r="D5" t="n">
        <v>200</v>
      </c>
      <c r="E5" t="inlineStr">
        <is>
          <t>FastAPI + MSSQL Localhost:1433</t>
        </is>
      </c>
      <c r="F5" t="inlineStr">
        <is>
          <t>2026-10-14 14:24:02</t>
        </is>
      </c>
      <c r="G5" t="inlineStr">
        <is>
          <t>VERIFIED</t>
        </is>
      </c>
    </row>
    <row r="6">
      <c r="A6" t="inlineStr">
        <is>
          <t>BENCH-005</t>
        </is>
      </c>
      <c r="B6" t="inlineStr">
        <is>
          <t>GET /api/admin/roles (RBAC Schema)</t>
        </is>
      </c>
      <c r="C6" t="n">
        <v>1.4494</v>
      </c>
      <c r="D6" t="n">
        <v>200</v>
      </c>
      <c r="E6" t="inlineStr">
        <is>
          <t>FastAPI + MSSQL Localhost:1433</t>
        </is>
      </c>
      <c r="F6" t="inlineStr">
        <is>
          <t>2026-10-14 14:24:03</t>
        </is>
      </c>
      <c r="G6" t="inlineStr">
        <is>
          <t>VERIFIED</t>
        </is>
      </c>
    </row>
    <row r="7">
      <c r="A7" t="inlineStr">
        <is>
          <t>BENCH-006</t>
        </is>
      </c>
      <c r="B7" t="inlineStr">
        <is>
          <t>GET /api/admin/audit-logs?limit=20 (Audit Trail)</t>
        </is>
      </c>
      <c r="C7" t="n">
        <v>0.08890000000000001</v>
      </c>
      <c r="D7" t="n">
        <v>200</v>
      </c>
      <c r="E7" t="inlineStr">
        <is>
          <t>FastAPI + MSSQL Localhost:1433</t>
        </is>
      </c>
      <c r="F7" t="inlineStr">
        <is>
          <t>2026-10-14 14:24:04</t>
        </is>
      </c>
      <c r="G7" t="inlineStr">
        <is>
          <t>VERIFIED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35" customWidth="1" min="2" max="2"/>
    <col width="61" customWidth="1" min="3" max="3"/>
    <col width="20" customWidth="1" min="4" max="4"/>
    <col width="20" customWidth="1" min="5" max="5"/>
    <col width="43" customWidth="1" min="6" max="6"/>
  </cols>
  <sheetData>
    <row r="1">
      <c r="A1" s="1" t="inlineStr">
        <is>
          <t>DocuFlow Automation - Metric Evaluation Summary</t>
        </is>
      </c>
    </row>
    <row r="2"/>
    <row r="3">
      <c r="A3" s="5" t="inlineStr">
        <is>
          <t>Metric Category</t>
        </is>
      </c>
      <c r="B3" s="5" t="inlineStr">
        <is>
          <t>Metric Name</t>
        </is>
      </c>
      <c r="C3" s="5" t="inlineStr">
        <is>
          <t>Formula / Definition</t>
        </is>
      </c>
      <c r="D3" s="5" t="inlineStr">
        <is>
          <t>Target Benchmark</t>
        </is>
      </c>
      <c r="E3" s="5" t="inlineStr">
        <is>
          <t>Empirical Result</t>
        </is>
      </c>
      <c r="F3" s="5" t="inlineStr">
        <is>
          <t>Evaluation Status</t>
        </is>
      </c>
    </row>
    <row r="4">
      <c r="A4" t="inlineStr">
        <is>
          <t>OCR Quality</t>
        </is>
      </c>
      <c r="B4" t="inlineStr">
        <is>
          <t>Character Error Rate (CER)</t>
        </is>
      </c>
      <c r="C4" t="inlineStr">
        <is>
          <t>Levenshtein char edit distance / Reference char length</t>
        </is>
      </c>
      <c r="D4" t="inlineStr">
        <is>
          <t>&lt; 5.0%</t>
        </is>
      </c>
      <c r="E4" t="inlineStr">
        <is>
          <t>BLOCKED</t>
        </is>
      </c>
      <c r="F4" t="inlineStr">
        <is>
          <t>BLOCKED pending ground-truth annotation</t>
        </is>
      </c>
    </row>
    <row r="5">
      <c r="A5" t="inlineStr">
        <is>
          <t>OCR Quality</t>
        </is>
      </c>
      <c r="B5" t="inlineStr">
        <is>
          <t>Word Error Rate (WER)</t>
        </is>
      </c>
      <c r="C5" t="inlineStr">
        <is>
          <t>Levenshtein word edit distance / Reference word count</t>
        </is>
      </c>
      <c r="D5" t="inlineStr">
        <is>
          <t>&lt; 10.0%</t>
        </is>
      </c>
      <c r="E5" t="inlineStr">
        <is>
          <t>BLOCKED</t>
        </is>
      </c>
      <c r="F5" t="inlineStr">
        <is>
          <t>BLOCKED pending ground-truth annotation</t>
        </is>
      </c>
    </row>
    <row r="6">
      <c r="A6" t="inlineStr">
        <is>
          <t>AI Field Extraction</t>
        </is>
      </c>
      <c r="B6" t="inlineStr">
        <is>
          <t>Raw Exact-Match Accuracy</t>
        </is>
      </c>
      <c r="C6" t="inlineStr">
        <is>
          <t>Raw matching fields / Total evaluated fields * 100</t>
        </is>
      </c>
      <c r="D6" t="inlineStr">
        <is>
          <t>&gt; 85.0%</t>
        </is>
      </c>
      <c r="E6" t="inlineStr">
        <is>
          <t>BLOCKED</t>
        </is>
      </c>
      <c r="F6" t="inlineStr">
        <is>
          <t>BLOCKED pending ground-truth annotation</t>
        </is>
      </c>
    </row>
    <row r="7">
      <c r="A7" t="inlineStr">
        <is>
          <t>AI Field Extraction</t>
        </is>
      </c>
      <c r="B7" t="inlineStr">
        <is>
          <t>Normalized Exact-Match Accuracy</t>
        </is>
      </c>
      <c r="C7" t="inlineStr">
        <is>
          <t>Normalized matching fields / Total evaluated fields * 100</t>
        </is>
      </c>
      <c r="D7" t="inlineStr">
        <is>
          <t>&gt; 90.0%</t>
        </is>
      </c>
      <c r="E7" t="inlineStr">
        <is>
          <t>BLOCKED</t>
        </is>
      </c>
      <c r="F7" t="inlineStr">
        <is>
          <t>BLOCKED pending ground-truth annotation</t>
        </is>
      </c>
    </row>
    <row r="8">
      <c r="A8" t="inlineStr">
        <is>
          <t>AI Field Extraction</t>
        </is>
      </c>
      <c r="B8" t="inlineStr">
        <is>
          <t>Precision</t>
        </is>
      </c>
      <c r="C8" t="inlineStr">
        <is>
          <t>TP / (TP + FP) * 100</t>
        </is>
      </c>
      <c r="D8" t="inlineStr">
        <is>
          <t>&gt; 90.0%</t>
        </is>
      </c>
      <c r="E8" t="inlineStr">
        <is>
          <t>BLOCKED</t>
        </is>
      </c>
      <c r="F8" t="inlineStr">
        <is>
          <t>BLOCKED pending ground-truth annotation</t>
        </is>
      </c>
    </row>
    <row r="9">
      <c r="A9" t="inlineStr">
        <is>
          <t>AI Field Extraction</t>
        </is>
      </c>
      <c r="B9" t="inlineStr">
        <is>
          <t>Recall</t>
        </is>
      </c>
      <c r="C9" t="inlineStr">
        <is>
          <t>TP / (TP + FN) * 100</t>
        </is>
      </c>
      <c r="D9" t="inlineStr">
        <is>
          <t>&gt; 90.0%</t>
        </is>
      </c>
      <c r="E9" t="inlineStr">
        <is>
          <t>BLOCKED</t>
        </is>
      </c>
      <c r="F9" t="inlineStr">
        <is>
          <t>BLOCKED pending ground-truth annotation</t>
        </is>
      </c>
    </row>
    <row r="10">
      <c r="A10" t="inlineStr">
        <is>
          <t>AI Field Extraction</t>
        </is>
      </c>
      <c r="B10" t="inlineStr">
        <is>
          <t>F1-Score</t>
        </is>
      </c>
      <c r="C10" t="inlineStr">
        <is>
          <t>2 * (P * R) / (P + R) * 100</t>
        </is>
      </c>
      <c r="D10" t="inlineStr">
        <is>
          <t>&gt; 90.0%</t>
        </is>
      </c>
      <c r="E10" t="inlineStr">
        <is>
          <t>BLOCKED</t>
        </is>
      </c>
      <c r="F10" t="inlineStr">
        <is>
          <t>BLOCKED pending ground-truth annotation</t>
        </is>
      </c>
    </row>
    <row r="11">
      <c r="A11" t="inlineStr">
        <is>
          <t>User Experience</t>
        </is>
      </c>
      <c r="B11" t="inlineStr">
        <is>
          <t>Manual Correction Rate</t>
        </is>
      </c>
      <c r="C11" t="inlineStr">
        <is>
          <t>Fields requiring user correction / Total fields * 100</t>
        </is>
      </c>
      <c r="D11" t="inlineStr">
        <is>
          <t>&lt; 15.0%</t>
        </is>
      </c>
      <c r="E11" t="inlineStr">
        <is>
          <t>BLOCKED</t>
        </is>
      </c>
      <c r="F11" t="inlineStr">
        <is>
          <t>BLOCKED pending ground-truth annotation</t>
        </is>
      </c>
    </row>
    <row r="12">
      <c r="A12" t="inlineStr">
        <is>
          <t>System Performance</t>
        </is>
      </c>
      <c r="B12" t="inlineStr">
        <is>
          <t>Health Endpoint Response Time</t>
        </is>
      </c>
      <c r="C12" t="inlineStr">
        <is>
          <t>Mean latency across 10 trials</t>
        </is>
      </c>
      <c r="D12" t="inlineStr">
        <is>
          <t>&lt; 50 ms</t>
        </is>
      </c>
      <c r="E12" t="inlineStr">
        <is>
          <t>8.13 ms (mean)</t>
        </is>
      </c>
      <c r="F12" t="inlineStr">
        <is>
          <t>VERIFIED (PASS)</t>
        </is>
      </c>
    </row>
    <row r="13">
      <c r="A13" t="inlineStr">
        <is>
          <t>System Performance</t>
        </is>
      </c>
      <c r="B13" t="inlineStr">
        <is>
          <t>Document List Query Latency</t>
        </is>
      </c>
      <c r="C13" t="inlineStr">
        <is>
          <t>Mean latency across 10 trials (MSSQL)</t>
        </is>
      </c>
      <c r="D13" t="inlineStr">
        <is>
          <t>&lt; 1500 ms</t>
        </is>
      </c>
      <c r="E13" t="inlineStr">
        <is>
          <t>907.35 ms (mean)</t>
        </is>
      </c>
      <c r="F13" t="inlineStr">
        <is>
          <t>VERIFIED (PASS)</t>
        </is>
      </c>
    </row>
    <row r="14">
      <c r="A14" t="inlineStr">
        <is>
          <t>System Performance</t>
        </is>
      </c>
      <c r="B14" t="inlineStr">
        <is>
          <t>Workflow Retrieval Latency</t>
        </is>
      </c>
      <c r="C14" t="inlineStr">
        <is>
          <t>Mean latency across 10 trials</t>
        </is>
      </c>
      <c r="D14" t="inlineStr">
        <is>
          <t>&lt; 500 ms</t>
        </is>
      </c>
      <c r="E14" t="inlineStr">
        <is>
          <t>147.29 ms (mean)</t>
        </is>
      </c>
      <c r="F14" t="inlineStr">
        <is>
          <t>VERIFIED (PASS)</t>
        </is>
      </c>
    </row>
    <row r="15">
      <c r="A15" t="inlineStr">
        <is>
          <t>System Performance</t>
        </is>
      </c>
      <c r="B15" t="inlineStr">
        <is>
          <t>Audit Log Retrieval Latency</t>
        </is>
      </c>
      <c r="C15" t="inlineStr">
        <is>
          <t>Mean latency across 10 trials</t>
        </is>
      </c>
      <c r="D15" t="inlineStr">
        <is>
          <t>&lt; 500 ms</t>
        </is>
      </c>
      <c r="E15" t="inlineStr">
        <is>
          <t>88.94 ms (mean)</t>
        </is>
      </c>
      <c r="F15" t="inlineStr">
        <is>
          <t>VERIFIED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2026-10-14T08:56:33Z</dcterms:created>
  <dcterms:modified xmlns:dcterms="http://purl.org/dc/terms/" xmlns:xsi="http://www.w3.org/2001/XMLSchema-instance" xsi:type="dcterms:W3CDTF">2026-10-14T08:56:33Z</dcterms:modified>
</cp:coreProperties>
</file>